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4e2480e08d677c/Dokumente/GitHub/piniOverKill/"/>
    </mc:Choice>
  </mc:AlternateContent>
  <xr:revisionPtr revIDLastSave="1" documentId="8_{F6FB41BD-9F2F-4522-BC8F-F0AE165FA32D}" xr6:coauthVersionLast="47" xr6:coauthVersionMax="47" xr10:uidLastSave="{319C59F9-ECB8-47B9-A990-FEE4838B338C}"/>
  <bookViews>
    <workbookView xWindow="-120" yWindow="-120" windowWidth="29040" windowHeight="15840" xr2:uid="{1557204A-60DB-4CEC-9973-3A370457281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6" i="1" l="1"/>
  <c r="O26" i="1"/>
  <c r="O20" i="1"/>
  <c r="J26" i="1"/>
  <c r="J20" i="1"/>
  <c r="E26" i="1"/>
  <c r="E20" i="1"/>
  <c r="AS13" i="1"/>
  <c r="AN13" i="1"/>
  <c r="AI13" i="1"/>
  <c r="AD13" i="1"/>
  <c r="Y13" i="1"/>
  <c r="T13" i="1"/>
  <c r="O13" i="1"/>
  <c r="J13" i="1"/>
  <c r="J29" i="1" s="1"/>
  <c r="E13" i="1"/>
  <c r="AS4" i="1"/>
  <c r="AS20" i="1" s="1"/>
  <c r="AS7" i="1"/>
  <c r="AS23" i="1" s="1"/>
  <c r="AS10" i="1"/>
  <c r="AS26" i="1" s="1"/>
  <c r="AN10" i="1"/>
  <c r="AN26" i="1" s="1"/>
  <c r="AN27" i="1" s="1"/>
  <c r="AN7" i="1"/>
  <c r="AN23" i="1" s="1"/>
  <c r="AN4" i="1"/>
  <c r="AN20" i="1" s="1"/>
  <c r="AI10" i="1"/>
  <c r="AI7" i="1"/>
  <c r="AI23" i="1" s="1"/>
  <c r="AI4" i="1"/>
  <c r="AI20" i="1" s="1"/>
  <c r="AD10" i="1"/>
  <c r="AD26" i="1" s="1"/>
  <c r="AD7" i="1"/>
  <c r="AD23" i="1" s="1"/>
  <c r="AD4" i="1"/>
  <c r="AD20" i="1" s="1"/>
  <c r="Y10" i="1"/>
  <c r="Y26" i="1" s="1"/>
  <c r="Y7" i="1"/>
  <c r="Y23" i="1" s="1"/>
  <c r="Y4" i="1"/>
  <c r="Y20" i="1" s="1"/>
  <c r="T10" i="1"/>
  <c r="T26" i="1" s="1"/>
  <c r="T27" i="1" s="1"/>
  <c r="T7" i="1"/>
  <c r="T23" i="1" s="1"/>
  <c r="T4" i="1"/>
  <c r="T20" i="1" s="1"/>
  <c r="T21" i="1" s="1"/>
  <c r="O10" i="1"/>
  <c r="O7" i="1"/>
  <c r="O23" i="1" s="1"/>
  <c r="O4" i="1"/>
  <c r="J10" i="1"/>
  <c r="J7" i="1"/>
  <c r="J23" i="1" s="1"/>
  <c r="J4" i="1"/>
  <c r="E10" i="1"/>
  <c r="E7" i="1"/>
  <c r="E23" i="1" s="1"/>
  <c r="E4" i="1"/>
  <c r="Y24" i="1" l="1"/>
  <c r="AD24" i="1"/>
  <c r="AS27" i="1"/>
  <c r="AS24" i="1"/>
  <c r="AS21" i="1"/>
  <c r="AN24" i="1"/>
  <c r="AN21" i="1"/>
  <c r="AI27" i="1"/>
  <c r="AI24" i="1"/>
  <c r="AI21" i="1"/>
  <c r="AI29" i="1"/>
  <c r="AD27" i="1"/>
  <c r="AD21" i="1"/>
  <c r="Y21" i="1"/>
  <c r="Y27" i="1"/>
  <c r="T24" i="1"/>
  <c r="O24" i="1"/>
  <c r="J27" i="1"/>
  <c r="Y29" i="1"/>
  <c r="O29" i="1"/>
  <c r="O27" i="1"/>
  <c r="T29" i="1"/>
  <c r="AD29" i="1"/>
  <c r="AN29" i="1"/>
  <c r="J21" i="1"/>
  <c r="E29" i="1"/>
  <c r="J30" i="1" s="1"/>
  <c r="AS29" i="1"/>
  <c r="O21" i="1"/>
  <c r="J24" i="1"/>
  <c r="AN14" i="1"/>
  <c r="AS14" i="1"/>
  <c r="AD14" i="1"/>
  <c r="AI14" i="1"/>
  <c r="Y14" i="1"/>
  <c r="T14" i="1"/>
  <c r="O14" i="1"/>
  <c r="J14" i="1"/>
  <c r="AD5" i="1"/>
  <c r="J5" i="1"/>
  <c r="AN5" i="1"/>
  <c r="AI5" i="1"/>
  <c r="AN11" i="1"/>
  <c r="T5" i="1"/>
  <c r="Y5" i="1"/>
  <c r="AS5" i="1"/>
  <c r="O5" i="1"/>
  <c r="AS11" i="1"/>
  <c r="AI11" i="1"/>
  <c r="AD11" i="1"/>
  <c r="Y11" i="1"/>
  <c r="T11" i="1"/>
  <c r="O11" i="1"/>
  <c r="J11" i="1"/>
  <c r="AS8" i="1"/>
  <c r="AN8" i="1"/>
  <c r="AI8" i="1"/>
  <c r="AD8" i="1"/>
  <c r="Y8" i="1"/>
  <c r="T8" i="1"/>
  <c r="O8" i="1"/>
  <c r="J8" i="1"/>
  <c r="AD30" i="1" l="1"/>
  <c r="Y30" i="1"/>
  <c r="AS30" i="1"/>
  <c r="AN30" i="1"/>
  <c r="AI30" i="1"/>
  <c r="T30" i="1"/>
  <c r="O30" i="1"/>
</calcChain>
</file>

<file path=xl/sharedStrings.xml><?xml version="1.0" encoding="utf-8"?>
<sst xmlns="http://schemas.openxmlformats.org/spreadsheetml/2006/main" count="45" uniqueCount="9">
  <si>
    <t>Laser</t>
  </si>
  <si>
    <t>FR</t>
  </si>
  <si>
    <t>DMG</t>
  </si>
  <si>
    <t>DPS</t>
  </si>
  <si>
    <t>Plasma</t>
  </si>
  <si>
    <t>Railgun</t>
  </si>
  <si>
    <t>x</t>
  </si>
  <si>
    <t>Blaster</t>
  </si>
  <si>
    <t>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</si>
</sst>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2563D-5354-4FD0-AC16-F5D4186FD13B}">
  <dimension ref="A1:AS30"/>
  <sheetViews>
    <sheetView tabSelected="1" zoomScale="110" zoomScaleNormal="110" workbookViewId="0"/>
  </sheetViews>
  <sheetFormatPr baseColWidth="10" defaultRowHeight="15" x14ac:dyDescent="0.25"/>
  <cols>
    <col min="2" max="5" width="5.7109375" customWidth="1"/>
    <col min="6" max="6" width="2.7109375" customWidth="1"/>
    <col min="7" max="10" width="5.7109375" customWidth="1"/>
    <col min="11" max="11" width="2.7109375" customWidth="1"/>
    <col min="12" max="15" width="5.7109375" customWidth="1"/>
    <col min="16" max="16" width="2.7109375" customWidth="1"/>
    <col min="17" max="20" width="5.7109375" customWidth="1"/>
    <col min="21" max="21" width="2.7109375" customWidth="1"/>
    <col min="22" max="25" width="5.7109375" customWidth="1"/>
    <col min="26" max="26" width="2.7109375" customWidth="1"/>
    <col min="27" max="30" width="5.7109375" customWidth="1"/>
    <col min="31" max="31" width="2.7109375" customWidth="1"/>
    <col min="32" max="35" width="5.7109375" customWidth="1"/>
    <col min="36" max="36" width="2.7109375" customWidth="1"/>
    <col min="37" max="40" width="5.7109375" customWidth="1"/>
    <col min="41" max="41" width="2.7109375" customWidth="1"/>
    <col min="42" max="45" width="5.7109375" customWidth="1"/>
  </cols>
  <sheetData>
    <row r="1" spans="1:45" s="2" customFormat="1" x14ac:dyDescent="0.25">
      <c r="B1" s="3">
        <v>1</v>
      </c>
      <c r="C1" s="3"/>
      <c r="D1" s="3"/>
      <c r="E1" s="3"/>
      <c r="G1" s="3">
        <v>2</v>
      </c>
      <c r="H1" s="3"/>
      <c r="I1" s="3"/>
      <c r="J1" s="3"/>
      <c r="L1" s="3">
        <v>3</v>
      </c>
      <c r="M1" s="3"/>
      <c r="N1" s="3"/>
      <c r="O1" s="3"/>
      <c r="Q1" s="3">
        <v>4</v>
      </c>
      <c r="R1" s="3"/>
      <c r="S1" s="3"/>
      <c r="T1" s="3"/>
      <c r="V1" s="3">
        <v>5</v>
      </c>
      <c r="W1" s="3"/>
      <c r="X1" s="3"/>
      <c r="Y1" s="3"/>
      <c r="AA1" s="3">
        <v>6</v>
      </c>
      <c r="AB1" s="3"/>
      <c r="AC1" s="3"/>
      <c r="AD1" s="3"/>
      <c r="AF1" s="3">
        <v>7</v>
      </c>
      <c r="AG1" s="3"/>
      <c r="AH1" s="3"/>
      <c r="AI1" s="3"/>
      <c r="AK1" s="3">
        <v>8</v>
      </c>
      <c r="AL1" s="3"/>
      <c r="AM1" s="3"/>
      <c r="AN1" s="3"/>
      <c r="AP1" s="3">
        <v>9</v>
      </c>
      <c r="AQ1" s="3"/>
      <c r="AR1" s="3"/>
      <c r="AS1" s="3"/>
    </row>
    <row r="2" spans="1:45" x14ac:dyDescent="0.25">
      <c r="B2" s="1" t="s">
        <v>1</v>
      </c>
      <c r="C2" s="1" t="s">
        <v>2</v>
      </c>
      <c r="D2" s="1" t="s">
        <v>6</v>
      </c>
      <c r="E2" s="1" t="s">
        <v>3</v>
      </c>
      <c r="G2" s="1" t="s">
        <v>1</v>
      </c>
      <c r="H2" s="1" t="s">
        <v>2</v>
      </c>
      <c r="I2" s="1" t="s">
        <v>6</v>
      </c>
      <c r="J2" s="1" t="s">
        <v>3</v>
      </c>
      <c r="L2" s="1" t="s">
        <v>1</v>
      </c>
      <c r="M2" s="1" t="s">
        <v>2</v>
      </c>
      <c r="N2" s="1" t="s">
        <v>6</v>
      </c>
      <c r="O2" s="1" t="s">
        <v>3</v>
      </c>
      <c r="Q2" s="1" t="s">
        <v>1</v>
      </c>
      <c r="R2" s="1" t="s">
        <v>2</v>
      </c>
      <c r="S2" s="1" t="s">
        <v>6</v>
      </c>
      <c r="T2" s="1" t="s">
        <v>3</v>
      </c>
      <c r="V2" s="1" t="s">
        <v>1</v>
      </c>
      <c r="W2" s="1" t="s">
        <v>2</v>
      </c>
      <c r="X2" s="1" t="s">
        <v>6</v>
      </c>
      <c r="Y2" s="1" t="s">
        <v>3</v>
      </c>
      <c r="AA2" s="1" t="s">
        <v>1</v>
      </c>
      <c r="AB2" s="1" t="s">
        <v>2</v>
      </c>
      <c r="AC2" s="1" t="s">
        <v>6</v>
      </c>
      <c r="AD2" s="1" t="s">
        <v>3</v>
      </c>
      <c r="AF2" s="1" t="s">
        <v>1</v>
      </c>
      <c r="AG2" s="1" t="s">
        <v>2</v>
      </c>
      <c r="AH2" s="1" t="s">
        <v>6</v>
      </c>
      <c r="AI2" s="1" t="s">
        <v>3</v>
      </c>
      <c r="AK2" s="1" t="s">
        <v>1</v>
      </c>
      <c r="AL2" s="1" t="s">
        <v>2</v>
      </c>
      <c r="AM2" s="1" t="s">
        <v>6</v>
      </c>
      <c r="AN2" s="1" t="s">
        <v>3</v>
      </c>
      <c r="AP2" s="1" t="s">
        <v>1</v>
      </c>
      <c r="AQ2" s="1" t="s">
        <v>2</v>
      </c>
      <c r="AR2" s="1" t="s">
        <v>6</v>
      </c>
      <c r="AS2" s="1" t="s">
        <v>3</v>
      </c>
    </row>
    <row r="4" spans="1:45" x14ac:dyDescent="0.25">
      <c r="A4" t="s">
        <v>0</v>
      </c>
      <c r="B4">
        <v>1500</v>
      </c>
      <c r="C4">
        <v>40</v>
      </c>
      <c r="D4">
        <v>1</v>
      </c>
      <c r="E4">
        <f>ROUND(C4/B4*1000*D4,1)</f>
        <v>26.7</v>
      </c>
      <c r="G4">
        <v>1500</v>
      </c>
      <c r="H4">
        <v>50</v>
      </c>
      <c r="I4">
        <v>1</v>
      </c>
      <c r="J4">
        <f>ROUND(H4/G4*1000*I4,1)</f>
        <v>33.299999999999997</v>
      </c>
      <c r="L4">
        <v>1200</v>
      </c>
      <c r="M4">
        <v>40</v>
      </c>
      <c r="N4">
        <v>1</v>
      </c>
      <c r="O4">
        <f>ROUND(M4/L4*1000*N4,1)</f>
        <v>33.299999999999997</v>
      </c>
      <c r="Q4">
        <v>1200</v>
      </c>
      <c r="R4">
        <v>45</v>
      </c>
      <c r="S4">
        <v>1</v>
      </c>
      <c r="T4">
        <f>ROUND(R4/Q4*1000*S4,1)</f>
        <v>37.5</v>
      </c>
      <c r="V4">
        <v>1200</v>
      </c>
      <c r="W4">
        <v>50</v>
      </c>
      <c r="X4">
        <v>1</v>
      </c>
      <c r="Y4">
        <f>ROUND(W4/V4*1000*X4,1)</f>
        <v>41.7</v>
      </c>
      <c r="AA4">
        <v>1000</v>
      </c>
      <c r="AB4">
        <v>55</v>
      </c>
      <c r="AC4">
        <v>1</v>
      </c>
      <c r="AD4">
        <f>ROUND(AB4/AA4*1000*AC4,1)</f>
        <v>55</v>
      </c>
      <c r="AF4">
        <v>1000</v>
      </c>
      <c r="AG4">
        <v>60</v>
      </c>
      <c r="AH4">
        <v>1</v>
      </c>
      <c r="AI4">
        <f>ROUND(AG4/AF4*1000*AH4,1)</f>
        <v>60</v>
      </c>
      <c r="AK4">
        <v>900</v>
      </c>
      <c r="AL4">
        <v>60</v>
      </c>
      <c r="AM4">
        <v>1</v>
      </c>
      <c r="AN4">
        <f>ROUND(AL4/AK4*1000*AM4,1)</f>
        <v>66.7</v>
      </c>
      <c r="AP4">
        <v>900</v>
      </c>
      <c r="AQ4">
        <v>65</v>
      </c>
      <c r="AR4">
        <v>1</v>
      </c>
      <c r="AS4">
        <f>ROUND(AQ4/AP4*1000*AR4,1)</f>
        <v>72.2</v>
      </c>
    </row>
    <row r="5" spans="1:45" x14ac:dyDescent="0.25">
      <c r="J5" t="str">
        <f>IF(J4&lt;E4,"NOK","")</f>
        <v/>
      </c>
      <c r="O5" t="str">
        <f>IF(O4&lt;J4,"NOK","")</f>
        <v/>
      </c>
      <c r="T5" t="str">
        <f>IF(T4&lt;O4,"NOK","")</f>
        <v/>
      </c>
      <c r="Y5" t="str">
        <f>IF(Y4&lt;T4,"NOK","")</f>
        <v/>
      </c>
      <c r="AD5" t="str">
        <f>IF(AD4&lt;Y4,"NOK","")</f>
        <v/>
      </c>
      <c r="AI5" t="str">
        <f>IF(AI4&lt;AD4,"NOK","")</f>
        <v/>
      </c>
      <c r="AN5" t="str">
        <f>IF(AN4&lt;AI4,"NOK","")</f>
        <v/>
      </c>
      <c r="AS5" t="str">
        <f>IF(AS4&lt;AN4,"NOK","")</f>
        <v/>
      </c>
    </row>
    <row r="7" spans="1:45" x14ac:dyDescent="0.25">
      <c r="A7" t="s">
        <v>4</v>
      </c>
      <c r="B7">
        <v>600</v>
      </c>
      <c r="C7">
        <v>13</v>
      </c>
      <c r="D7">
        <v>1</v>
      </c>
      <c r="E7">
        <f>ROUND(C7/B7*1000*D7,1)</f>
        <v>21.7</v>
      </c>
      <c r="G7">
        <v>600</v>
      </c>
      <c r="H7">
        <v>14</v>
      </c>
      <c r="I7">
        <v>1</v>
      </c>
      <c r="J7">
        <f>ROUND(H7/G7*1000*I7,1)</f>
        <v>23.3</v>
      </c>
      <c r="L7">
        <v>500</v>
      </c>
      <c r="M7">
        <v>13</v>
      </c>
      <c r="N7">
        <v>1</v>
      </c>
      <c r="O7">
        <f>ROUND(M7/L7*1000*N7,1)</f>
        <v>26</v>
      </c>
      <c r="Q7">
        <v>500</v>
      </c>
      <c r="R7">
        <v>16</v>
      </c>
      <c r="S7">
        <v>1</v>
      </c>
      <c r="T7">
        <f>ROUND(R7/Q7*1000*S7,1)</f>
        <v>32</v>
      </c>
      <c r="V7">
        <v>450</v>
      </c>
      <c r="W7">
        <v>18</v>
      </c>
      <c r="X7">
        <v>1</v>
      </c>
      <c r="Y7">
        <f>ROUND(W7/V7*1000*X7,1)</f>
        <v>40</v>
      </c>
      <c r="AA7">
        <v>420</v>
      </c>
      <c r="AB7">
        <v>20</v>
      </c>
      <c r="AC7">
        <v>1</v>
      </c>
      <c r="AD7">
        <f>ROUND(AB7/AA7*1000*AC7,1)</f>
        <v>47.6</v>
      </c>
      <c r="AF7">
        <v>420</v>
      </c>
      <c r="AG7">
        <v>23</v>
      </c>
      <c r="AH7">
        <v>1</v>
      </c>
      <c r="AI7">
        <f>ROUND(AG7/AF7*1000*AH7,1)</f>
        <v>54.8</v>
      </c>
      <c r="AK7">
        <v>400</v>
      </c>
      <c r="AL7">
        <v>26</v>
      </c>
      <c r="AM7">
        <v>1</v>
      </c>
      <c r="AN7">
        <f>ROUND(AL7/AK7*1000*AM7,1)</f>
        <v>65</v>
      </c>
      <c r="AP7">
        <v>380</v>
      </c>
      <c r="AQ7">
        <v>27</v>
      </c>
      <c r="AR7">
        <v>1</v>
      </c>
      <c r="AS7">
        <f>ROUND(AQ7/AP7*1000*AR7,1)</f>
        <v>71.099999999999994</v>
      </c>
    </row>
    <row r="8" spans="1:45" x14ac:dyDescent="0.25">
      <c r="J8" t="str">
        <f>IF(J7&lt;E7,"NOK","")</f>
        <v/>
      </c>
      <c r="O8" t="str">
        <f>IF(O7&lt;J7,"NOK","")</f>
        <v/>
      </c>
      <c r="T8" t="str">
        <f>IF(T7&lt;O7,"NOK","")</f>
        <v/>
      </c>
      <c r="Y8" t="str">
        <f>IF(Y7&lt;T7,"NOK","")</f>
        <v/>
      </c>
      <c r="AD8" t="str">
        <f>IF(AD7&lt;Y7,"NOK","")</f>
        <v/>
      </c>
      <c r="AI8" t="str">
        <f>IF(AI7&lt;AD7,"NOK","")</f>
        <v/>
      </c>
      <c r="AN8" t="str">
        <f>IF(AN7&lt;AI7,"NOK","")</f>
        <v/>
      </c>
      <c r="AS8" t="str">
        <f>IF(AS7&lt;AN7,"NOK","")</f>
        <v/>
      </c>
    </row>
    <row r="10" spans="1:45" x14ac:dyDescent="0.25">
      <c r="A10" t="s">
        <v>5</v>
      </c>
      <c r="B10">
        <v>200</v>
      </c>
      <c r="C10">
        <v>2</v>
      </c>
      <c r="D10">
        <v>1</v>
      </c>
      <c r="E10">
        <f>ROUND(C10/B10*1000*D10,1)</f>
        <v>10</v>
      </c>
      <c r="G10">
        <v>160</v>
      </c>
      <c r="H10">
        <v>2</v>
      </c>
      <c r="I10">
        <v>1</v>
      </c>
      <c r="J10">
        <f>ROUND(H10/G10*1000*I10,1)</f>
        <v>12.5</v>
      </c>
      <c r="L10">
        <v>120</v>
      </c>
      <c r="M10">
        <v>2</v>
      </c>
      <c r="N10">
        <v>1</v>
      </c>
      <c r="O10">
        <f>ROUND(M10/L10*1000*N10,1)</f>
        <v>16.7</v>
      </c>
      <c r="Q10">
        <v>140</v>
      </c>
      <c r="R10">
        <v>4</v>
      </c>
      <c r="S10">
        <v>1</v>
      </c>
      <c r="T10">
        <f>ROUND(R10/Q10*1000*S10,1)</f>
        <v>28.6</v>
      </c>
      <c r="V10">
        <v>160</v>
      </c>
      <c r="W10">
        <v>3</v>
      </c>
      <c r="X10">
        <v>2</v>
      </c>
      <c r="Y10">
        <f>ROUND(W10/V10*1000*X10,1)</f>
        <v>37.5</v>
      </c>
      <c r="AA10">
        <v>140</v>
      </c>
      <c r="AB10">
        <v>3</v>
      </c>
      <c r="AC10">
        <v>2</v>
      </c>
      <c r="AD10">
        <f>ROUND(AB10/AA10*1000*AC10,1)</f>
        <v>42.9</v>
      </c>
      <c r="AF10">
        <v>160</v>
      </c>
      <c r="AG10">
        <v>4</v>
      </c>
      <c r="AH10">
        <v>2</v>
      </c>
      <c r="AI10">
        <f>ROUND(AG10/AF10*1000*AH10,1)</f>
        <v>50</v>
      </c>
      <c r="AK10">
        <v>119</v>
      </c>
      <c r="AL10">
        <v>4</v>
      </c>
      <c r="AM10">
        <v>2</v>
      </c>
      <c r="AN10">
        <f>ROUND(AL10/AK10*1000*AM10,1)</f>
        <v>67.2</v>
      </c>
      <c r="AP10">
        <v>140</v>
      </c>
      <c r="AQ10">
        <v>5</v>
      </c>
      <c r="AR10">
        <v>2</v>
      </c>
      <c r="AS10">
        <f>ROUND(AQ10/AP10*1000*AR10,1)</f>
        <v>71.400000000000006</v>
      </c>
    </row>
    <row r="11" spans="1:45" x14ac:dyDescent="0.25">
      <c r="J11" t="str">
        <f>IF(J10&lt;E10,"NOK","")</f>
        <v/>
      </c>
      <c r="O11" t="str">
        <f>IF(O10&lt;J10,"NOK","")</f>
        <v/>
      </c>
      <c r="T11" t="str">
        <f>IF(T10&lt;O10,"NOK","")</f>
        <v/>
      </c>
      <c r="Y11" t="str">
        <f>IF(Y10&lt;T10,"NOK","")</f>
        <v/>
      </c>
      <c r="AD11" t="str">
        <f>IF(AD10&lt;Y10,"NOK","")</f>
        <v/>
      </c>
      <c r="AI11" t="str">
        <f>IF(AI10&lt;AD10,"NOK","")</f>
        <v/>
      </c>
      <c r="AN11" t="str">
        <f>IF(AN10&lt;AI10,"NOK","")</f>
        <v/>
      </c>
      <c r="AS11" t="str">
        <f>IF(AS10&lt;AN10,"NOK","")</f>
        <v/>
      </c>
    </row>
    <row r="13" spans="1:45" x14ac:dyDescent="0.25">
      <c r="A13" t="s">
        <v>7</v>
      </c>
      <c r="B13">
        <v>700</v>
      </c>
      <c r="C13">
        <v>3</v>
      </c>
      <c r="D13">
        <v>5</v>
      </c>
      <c r="E13">
        <f>ROUND(C13/B13*1000*D13,1)</f>
        <v>21.4</v>
      </c>
      <c r="G13">
        <v>700</v>
      </c>
      <c r="H13">
        <v>4</v>
      </c>
      <c r="I13">
        <v>5</v>
      </c>
      <c r="J13">
        <f>ROUND(H13/G13*1000*I13,1)</f>
        <v>28.6</v>
      </c>
      <c r="L13">
        <v>700</v>
      </c>
      <c r="M13">
        <v>4</v>
      </c>
      <c r="N13">
        <v>6</v>
      </c>
      <c r="O13">
        <f>ROUND(M13/L13*1000*N13,1)</f>
        <v>34.299999999999997</v>
      </c>
      <c r="Q13">
        <v>700</v>
      </c>
      <c r="R13">
        <v>5</v>
      </c>
      <c r="S13">
        <v>6</v>
      </c>
      <c r="T13">
        <f>ROUND(R13/Q13*1000*S13,1)</f>
        <v>42.9</v>
      </c>
      <c r="V13">
        <v>600</v>
      </c>
      <c r="W13">
        <v>5</v>
      </c>
      <c r="X13">
        <v>6</v>
      </c>
      <c r="Y13">
        <f>ROUND(W13/V13*1000*X13,1)</f>
        <v>50</v>
      </c>
      <c r="AA13">
        <v>600</v>
      </c>
      <c r="AB13">
        <v>5</v>
      </c>
      <c r="AC13">
        <v>7</v>
      </c>
      <c r="AD13">
        <f>ROUND(AB13/AA13*1000*AC13,1)</f>
        <v>58.3</v>
      </c>
      <c r="AF13">
        <v>550</v>
      </c>
      <c r="AG13">
        <v>5</v>
      </c>
      <c r="AH13">
        <v>7</v>
      </c>
      <c r="AI13">
        <f>ROUND(AG13/AF13*1000*AH13,1)</f>
        <v>63.6</v>
      </c>
      <c r="AK13">
        <v>530</v>
      </c>
      <c r="AL13">
        <v>5</v>
      </c>
      <c r="AM13">
        <v>7</v>
      </c>
      <c r="AN13">
        <f>ROUND(AL13/AK13*1000*AM13,1)</f>
        <v>66</v>
      </c>
      <c r="AP13">
        <v>555</v>
      </c>
      <c r="AQ13">
        <v>5</v>
      </c>
      <c r="AR13">
        <v>8</v>
      </c>
      <c r="AS13">
        <f>ROUND(AQ13/AP13*1000*AR13,1)</f>
        <v>72.099999999999994</v>
      </c>
    </row>
    <row r="14" spans="1:45" x14ac:dyDescent="0.25">
      <c r="J14" t="str">
        <f>IF(J13&lt;E13,"NOK","")</f>
        <v/>
      </c>
      <c r="O14" t="str">
        <f>IF(O13&lt;J13,"NOK","")</f>
        <v/>
      </c>
      <c r="T14" t="str">
        <f>IF(T13&lt;O13,"NOK","")</f>
        <v/>
      </c>
      <c r="Y14" t="str">
        <f>IF(Y13&lt;T13,"NOK","")</f>
        <v/>
      </c>
      <c r="AD14" t="str">
        <f>IF(AD13&lt;Y13,"NOK","")</f>
        <v/>
      </c>
      <c r="AI14" t="str">
        <f>IF(AI13&lt;AD13,"NOK","")</f>
        <v/>
      </c>
      <c r="AN14" t="str">
        <f>IF(AN13&lt;AI13,"NOK","")</f>
        <v/>
      </c>
      <c r="AS14" t="str">
        <f>IF(AS13&lt;AN13,"NOK","")</f>
        <v/>
      </c>
    </row>
    <row r="18" spans="1:45" x14ac:dyDescent="0.25">
      <c r="A18" s="2" t="s">
        <v>8</v>
      </c>
    </row>
    <row r="20" spans="1:45" x14ac:dyDescent="0.25">
      <c r="A20" t="s">
        <v>0</v>
      </c>
      <c r="E20">
        <f>E4*3</f>
        <v>80.099999999999994</v>
      </c>
      <c r="J20">
        <f>J4*3</f>
        <v>99.899999999999991</v>
      </c>
      <c r="O20">
        <f>O4*3</f>
        <v>99.899999999999991</v>
      </c>
      <c r="T20">
        <f>T4*3</f>
        <v>112.5</v>
      </c>
      <c r="Y20">
        <f>Y4*3</f>
        <v>125.10000000000001</v>
      </c>
      <c r="AD20">
        <f>AD4*3</f>
        <v>165</v>
      </c>
      <c r="AI20">
        <f>AI4*3</f>
        <v>180</v>
      </c>
      <c r="AN20">
        <f>AN4*3</f>
        <v>200.10000000000002</v>
      </c>
      <c r="AS20">
        <f>AS4*3</f>
        <v>216.60000000000002</v>
      </c>
    </row>
    <row r="21" spans="1:45" x14ac:dyDescent="0.25">
      <c r="J21" t="str">
        <f>IF(J20&lt;E20,"NOK","")</f>
        <v/>
      </c>
      <c r="O21" t="str">
        <f>IF(O20&lt;J20,"NOK","")</f>
        <v/>
      </c>
      <c r="T21" t="str">
        <f>IF(T20&lt;O20,"NOK","")</f>
        <v/>
      </c>
      <c r="Y21" t="str">
        <f>IF(Y20&lt;T20,"NOK","")</f>
        <v/>
      </c>
      <c r="AD21" t="str">
        <f>IF(AD20&lt;Y20,"NOK","")</f>
        <v/>
      </c>
      <c r="AI21" t="str">
        <f>IF(AI20&lt;AD20,"NOK","")</f>
        <v/>
      </c>
      <c r="AN21" t="str">
        <f>IF(AN20&lt;AI20,"NOK","")</f>
        <v/>
      </c>
      <c r="AS21" t="str">
        <f>IF(AS20&lt;AN20,"NOK","")</f>
        <v/>
      </c>
    </row>
    <row r="23" spans="1:45" x14ac:dyDescent="0.25">
      <c r="A23" t="s">
        <v>4</v>
      </c>
      <c r="E23">
        <f>E7*3</f>
        <v>65.099999999999994</v>
      </c>
      <c r="J23">
        <f>J7*3</f>
        <v>69.900000000000006</v>
      </c>
      <c r="O23">
        <f>O7*3</f>
        <v>78</v>
      </c>
      <c r="T23">
        <f>T7*3</f>
        <v>96</v>
      </c>
      <c r="Y23">
        <f>Y7*3</f>
        <v>120</v>
      </c>
      <c r="AD23">
        <f>AD7*3</f>
        <v>142.80000000000001</v>
      </c>
      <c r="AI23">
        <f>AI7*3</f>
        <v>164.39999999999998</v>
      </c>
      <c r="AN23">
        <f>AN7*3</f>
        <v>195</v>
      </c>
      <c r="AS23">
        <f>AS7*3</f>
        <v>213.29999999999998</v>
      </c>
    </row>
    <row r="24" spans="1:45" x14ac:dyDescent="0.25">
      <c r="J24" t="str">
        <f>IF(J23&lt;E23,"NOK","")</f>
        <v/>
      </c>
      <c r="O24" t="str">
        <f>IF(O23&lt;J23,"NOK","")</f>
        <v/>
      </c>
      <c r="T24" t="str">
        <f>IF(T23&lt;O23,"NOK","")</f>
        <v/>
      </c>
      <c r="Y24" t="str">
        <f>IF(Y23&lt;T23,"NOK","")</f>
        <v/>
      </c>
      <c r="AD24" t="str">
        <f>IF(AD23&lt;Y23,"NOK","")</f>
        <v/>
      </c>
      <c r="AI24" t="str">
        <f>IF(AI23&lt;AD23,"NOK","")</f>
        <v/>
      </c>
      <c r="AN24" t="str">
        <f>IF(AN23&lt;AI23,"NOK","")</f>
        <v/>
      </c>
      <c r="AS24" t="str">
        <f>IF(AS23&lt;AN23,"NOK","")</f>
        <v/>
      </c>
    </row>
    <row r="26" spans="1:45" x14ac:dyDescent="0.25">
      <c r="A26" t="s">
        <v>5</v>
      </c>
      <c r="E26">
        <f>E10*3</f>
        <v>30</v>
      </c>
      <c r="J26">
        <f>J10*3</f>
        <v>37.5</v>
      </c>
      <c r="O26">
        <f>O10*3</f>
        <v>50.099999999999994</v>
      </c>
      <c r="T26">
        <f>T10*3</f>
        <v>85.800000000000011</v>
      </c>
      <c r="Y26">
        <f>Y10*3</f>
        <v>112.5</v>
      </c>
      <c r="AD26">
        <f>AD10*3</f>
        <v>128.69999999999999</v>
      </c>
      <c r="AI26">
        <f>AI10*3</f>
        <v>150</v>
      </c>
      <c r="AN26">
        <f>AN10*3</f>
        <v>201.60000000000002</v>
      </c>
      <c r="AS26">
        <f>AS10*3</f>
        <v>214.20000000000002</v>
      </c>
    </row>
    <row r="27" spans="1:45" x14ac:dyDescent="0.25">
      <c r="J27" t="str">
        <f>IF(J26&lt;E26,"NOK","")</f>
        <v/>
      </c>
      <c r="O27" t="str">
        <f>IF(O26&lt;J26,"NOK","")</f>
        <v/>
      </c>
      <c r="T27" t="str">
        <f>IF(T26&lt;O26,"NOK","")</f>
        <v/>
      </c>
      <c r="Y27" t="str">
        <f>IF(Y26&lt;T26,"NOK","")</f>
        <v/>
      </c>
      <c r="AD27" t="str">
        <f>IF(AD26&lt;Y26,"NOK","")</f>
        <v/>
      </c>
      <c r="AI27" t="str">
        <f>IF(AI26&lt;AD26,"NOK","")</f>
        <v/>
      </c>
      <c r="AN27" t="str">
        <f>IF(AN26&lt;AI26,"NOK","")</f>
        <v/>
      </c>
      <c r="AS27" t="str">
        <f>IF(AS26&lt;AN26,"NOK","")</f>
        <v/>
      </c>
    </row>
    <row r="29" spans="1:45" x14ac:dyDescent="0.25">
      <c r="A29" t="s">
        <v>7</v>
      </c>
      <c r="E29">
        <f>E13+E7*2</f>
        <v>64.8</v>
      </c>
      <c r="J29">
        <f>J13+J4*2</f>
        <v>95.199999999999989</v>
      </c>
      <c r="O29">
        <f>O13+O10*2</f>
        <v>67.699999999999989</v>
      </c>
      <c r="T29">
        <f>T13+T10*2</f>
        <v>100.1</v>
      </c>
      <c r="Y29">
        <f>Y13+Y7*2</f>
        <v>130</v>
      </c>
      <c r="AD29">
        <f>AD13+Y4*2</f>
        <v>141.69999999999999</v>
      </c>
      <c r="AI29">
        <f>AI13+Y10*2</f>
        <v>138.6</v>
      </c>
      <c r="AN29">
        <f>AN13+AD7*2</f>
        <v>161.19999999999999</v>
      </c>
      <c r="AS29">
        <f>AS13+AD7*2</f>
        <v>167.3</v>
      </c>
    </row>
    <row r="30" spans="1:45" x14ac:dyDescent="0.25">
      <c r="J30" t="str">
        <f>IF(J29&lt;E29,"NOK","")</f>
        <v/>
      </c>
      <c r="O30" t="str">
        <f>IF(O29&lt;J29,"NOK","")</f>
        <v>NOK</v>
      </c>
      <c r="T30" t="str">
        <f>IF(T29&lt;O29,"NOK","")</f>
        <v/>
      </c>
      <c r="Y30" t="str">
        <f>IF(Y29&lt;T29,"NOK","")</f>
        <v/>
      </c>
      <c r="AD30" t="str">
        <f>IF(AD29&lt;Y29,"NOK","")</f>
        <v/>
      </c>
      <c r="AI30" t="str">
        <f>IF(AI29&lt;AD29,"NOK","")</f>
        <v>NOK</v>
      </c>
      <c r="AN30" t="str">
        <f>IF(AN29&lt;AI29,"NOK","")</f>
        <v/>
      </c>
      <c r="AS30" t="str">
        <f>IF(AS29&lt;AN29,"NOK","")</f>
        <v/>
      </c>
    </row>
  </sheetData>
  <mergeCells count="9">
    <mergeCell ref="AF1:AI1"/>
    <mergeCell ref="AK1:AN1"/>
    <mergeCell ref="AP1:AS1"/>
    <mergeCell ref="B1:E1"/>
    <mergeCell ref="G1:J1"/>
    <mergeCell ref="L1:O1"/>
    <mergeCell ref="Q1:T1"/>
    <mergeCell ref="V1:Y1"/>
    <mergeCell ref="AA1:AD1"/>
  </mergeCells>
  <conditionalFormatting sqref="E4:E1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:T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4:Y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:AD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:AI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4:AN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:AS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Fam. Segelbacher</dc:creator>
  <cp:lastModifiedBy>Fam. Segelbacher</cp:lastModifiedBy>
  <dcterms:created xsi:type="dcterms:W3CDTF">2026-01-12T09:44:30Z</dcterms:created>
  <dcterms:modified xsi:type="dcterms:W3CDTF">2026-01-12T14:27:55Z</dcterms:modified>
</cp:coreProperties>
</file>